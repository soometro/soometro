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ometro\content\docs\monograph\gemini\"/>
    </mc:Choice>
  </mc:AlternateContent>
  <xr:revisionPtr revIDLastSave="0" documentId="13_ncr:1_{7E6B26BF-A1EC-489E-B83F-61F48140D414}" xr6:coauthVersionLast="47" xr6:coauthVersionMax="47" xr10:uidLastSave="{00000000-0000-0000-0000-000000000000}"/>
  <bookViews>
    <workbookView xWindow="11903" yWindow="698" windowWidth="14760" windowHeight="14467" activeTab="1" xr2:uid="{72A92B6D-868C-45EB-BFF4-EF9DDAEFC8B2}"/>
  </bookViews>
  <sheets>
    <sheet name="가로" sheetId="2" r:id="rId1"/>
    <sheet name="세로" sheetId="3" r:id="rId2"/>
  </sheets>
  <definedNames>
    <definedName name="_xlnm._FilterDatabase" localSheetId="0" hidden="1">가로!#REF!</definedName>
    <definedName name="_xlnm._FilterDatabase" localSheetId="1" hidden="1">세로!$A$1:$V$8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3" l="1"/>
  <c r="V3" i="3"/>
  <c r="V5" i="3"/>
  <c r="V6" i="3"/>
  <c r="V7" i="3"/>
  <c r="V8" i="3"/>
  <c r="V2" i="3"/>
</calcChain>
</file>

<file path=xl/sharedStrings.xml><?xml version="1.0" encoding="utf-8"?>
<sst xmlns="http://schemas.openxmlformats.org/spreadsheetml/2006/main" count="218" uniqueCount="79">
  <si>
    <t>AI 종류</t>
  </si>
  <si>
    <t>구분 항목</t>
  </si>
  <si>
    <t>토큰 제한</t>
  </si>
  <si>
    <t>토큰/요청 제한</t>
  </si>
  <si>
    <t>최대 1,000,000 토큰</t>
  </si>
  <si>
    <t>최대 200,000 토큰</t>
  </si>
  <si>
    <t>Perplexity (무료)</t>
  </si>
  <si>
    <t>최대 8,192 토큰</t>
  </si>
  <si>
    <t>입력 토큰량 (Tokens)</t>
  </si>
  <si>
    <t>구글 검색 AI모드</t>
  </si>
  <si>
    <t>약 1,000 ~ 2,000 토큰</t>
  </si>
  <si>
    <t>약 500 ~ 1,500개</t>
  </si>
  <si>
    <t>라이트 전환 없음</t>
  </si>
  <si>
    <t>입력 단어수 환산</t>
    <phoneticPr fontId="1" type="noConversion"/>
  </si>
  <si>
    <t>약 3,000 ~ 4,500개</t>
  </si>
  <si>
    <t>1회 최대 출력 토큰량</t>
  </si>
  <si>
    <t>입력 단어수 환산 (한글)</t>
  </si>
  <si>
    <t>약 4,000 ~ 8,000개</t>
  </si>
  <si>
    <t>1회 최대 출력 단어수 (한글)</t>
  </si>
  <si>
    <t>약 8,000 ~ 16,000 토큰</t>
  </si>
  <si>
    <t>약 300,000 ~ 500,000개</t>
  </si>
  <si>
    <t>약 80,000 ~ 100,000개</t>
  </si>
  <si>
    <t>약 2,000 ~ 4,000개</t>
  </si>
  <si>
    <t>최대 4,096 ~ 8,192 토큰</t>
  </si>
  <si>
    <t>약 500 ~ 1,000개</t>
  </si>
  <si>
    <t>사용량 제한 특징</t>
  </si>
  <si>
    <t>Gemini 3.6 Flash (무료 앱/웹)</t>
  </si>
  <si>
    <t>3.5 Lite 전환 토큰</t>
  </si>
  <si>
    <t>Claude Sonnet 5 (무료)</t>
  </si>
  <si>
    <t>Mini 전환 토큰</t>
  </si>
  <si>
    <t>ChatGPT 5.5 Instant (무료)</t>
  </si>
  <si>
    <t>1회 최대 출력 단어수</t>
    <phoneticPr fontId="1" type="noConversion"/>
  </si>
  <si>
    <t>약 3,000 ~ 4,000개 이상 (장문)</t>
  </si>
  <si>
    <t>오피스 문서 생성</t>
  </si>
  <si>
    <t>창의적 장문 작성</t>
  </si>
  <si>
    <t>실시간 정보 검색</t>
  </si>
  <si>
    <t>수리 및 데이터 연산</t>
  </si>
  <si>
    <t>시각 이미지 생성</t>
  </si>
  <si>
    <t>코드 개발 및 디버깅</t>
  </si>
  <si>
    <t>다국어 번역 및 현지화</t>
  </si>
  <si>
    <t>핵심 요약 및 문맥 파악</t>
  </si>
  <si>
    <t>역할 대입 및 상담</t>
  </si>
  <si>
    <t>일정 및 워크플로우 기획</t>
  </si>
  <si>
    <t>평가 항목</t>
  </si>
  <si>
    <t>4.0 / 10</t>
  </si>
  <si>
    <t>8.0 / 10</t>
  </si>
  <si>
    <t>7.0 / 10</t>
  </si>
  <si>
    <t>9.5 / 10</t>
  </si>
  <si>
    <t>8.5 / 10</t>
  </si>
  <si>
    <t>9.0 / 10</t>
  </si>
  <si>
    <t>7.5 / 10</t>
  </si>
  <si>
    <t>5.0 / 10</t>
  </si>
  <si>
    <t>6.0 / 10</t>
  </si>
  <si>
    <t>2.0 / 10</t>
  </si>
  <si>
    <t>1.0 / 10</t>
  </si>
  <si>
    <t>3.0 / 10</t>
  </si>
  <si>
    <t>그록 (무료)</t>
  </si>
  <si>
    <t>코파일럿 (무료)</t>
  </si>
  <si>
    <t>메시지 횟수 제한</t>
  </si>
  <si>
    <t>세션/요청 제한</t>
  </si>
  <si>
    <t>약 32,000 토큰</t>
  </si>
  <si>
    <t>약 4,000 ~ 8,000 토큰</t>
  </si>
  <si>
    <t>최대 500,000 토큰</t>
  </si>
  <si>
    <t>최대 128,000 토큰</t>
  </si>
  <si>
    <t>약 3,000 ~ 10,000개</t>
  </si>
  <si>
    <t>약 200,000 ~ 250,000개</t>
  </si>
  <si>
    <t>약 40,000 ~ 50,000개</t>
  </si>
  <si>
    <t>최대 8,192 토큰 이상 (웹 장문 허용)</t>
  </si>
  <si>
    <t>최대 8,192 ~ 16,384 토큰</t>
  </si>
  <si>
    <t>최대 4,096 ~ 16,384 토큰</t>
  </si>
  <si>
    <t>약 3,000 ~ 5,000개</t>
  </si>
  <si>
    <t>실시간 웹 검색 요약 특화</t>
  </si>
  <si>
    <t>5시간당 메시지 제한 및 Mini 자동 전환</t>
  </si>
  <si>
    <t>일일 약 1,000회 요약 요청 제한</t>
  </si>
  <si>
    <t>하루 약 20~40회 토큰 제한</t>
  </si>
  <si>
    <t>일반 검색 무제한, 프로 검색 5회/일 제한</t>
  </si>
  <si>
    <t>X(트위터) 실시간 연동, 메시지 횟수 기반 제한</t>
  </si>
  <si>
    <t>빙(Bing) 검색 및 오피스 연계, 일일 대화 제한</t>
  </si>
  <si>
    <t>입력 (Tokens)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</si>
</sst>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_ 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1F1F1F"/>
      <name val="맑은 고딕"/>
      <family val="3"/>
      <charset val="129"/>
      <scheme val="major"/>
    </font>
    <font>
      <b/>
      <sz val="10"/>
      <color rgb="FF1F1F1F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readingOrder="1"/>
    </xf>
    <xf numFmtId="181" fontId="4" fillId="0" borderId="0" xfId="0" applyNumberFormat="1" applyFont="1" applyAlignment="1">
      <alignment horizontal="center" vertical="center" wrapText="1" readingOrder="1"/>
    </xf>
    <xf numFmtId="181" fontId="3" fillId="0" borderId="0" xfId="0" applyNumberFormat="1" applyFont="1" applyAlignment="1">
      <alignment horizontal="center" vertical="center" wrapText="1" readingOrder="1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2593-799C-4D6E-823E-353F7E7F1D96}">
  <dimension ref="A1:H19"/>
  <sheetViews>
    <sheetView workbookViewId="0">
      <selection activeCell="B15" sqref="B15"/>
    </sheetView>
  </sheetViews>
  <sheetFormatPr defaultColWidth="14.8125" defaultRowHeight="15.75" x14ac:dyDescent="0.6"/>
  <cols>
    <col min="1" max="1" width="18.75" style="1" bestFit="1" customWidth="1"/>
    <col min="2" max="8" width="32.5625" style="1" customWidth="1"/>
    <col min="9" max="16384" width="14.8125" style="1"/>
  </cols>
  <sheetData>
    <row r="1" spans="1:8" x14ac:dyDescent="0.6">
      <c r="A1" s="2" t="s">
        <v>0</v>
      </c>
      <c r="B1" s="2" t="s">
        <v>9</v>
      </c>
      <c r="C1" s="2" t="s">
        <v>30</v>
      </c>
      <c r="D1" s="2" t="s">
        <v>26</v>
      </c>
      <c r="E1" s="2" t="s">
        <v>28</v>
      </c>
      <c r="F1" s="2" t="s">
        <v>6</v>
      </c>
      <c r="G1" s="2" t="s">
        <v>56</v>
      </c>
      <c r="H1" s="2" t="s">
        <v>57</v>
      </c>
    </row>
    <row r="2" spans="1:8" x14ac:dyDescent="0.6">
      <c r="A2" s="2" t="s">
        <v>1</v>
      </c>
      <c r="B2" s="3" t="s">
        <v>12</v>
      </c>
      <c r="C2" s="3" t="s">
        <v>29</v>
      </c>
      <c r="D2" s="3" t="s">
        <v>27</v>
      </c>
      <c r="E2" s="3" t="s">
        <v>2</v>
      </c>
      <c r="F2" s="3" t="s">
        <v>3</v>
      </c>
      <c r="G2" s="3" t="s">
        <v>58</v>
      </c>
      <c r="H2" s="3" t="s">
        <v>59</v>
      </c>
    </row>
    <row r="3" spans="1:8" x14ac:dyDescent="0.6">
      <c r="A3" s="2" t="s">
        <v>8</v>
      </c>
      <c r="B3" s="3" t="s">
        <v>60</v>
      </c>
      <c r="C3" s="3" t="s">
        <v>19</v>
      </c>
      <c r="D3" s="3" t="s">
        <v>4</v>
      </c>
      <c r="E3" s="3" t="s">
        <v>5</v>
      </c>
      <c r="F3" s="3" t="s">
        <v>61</v>
      </c>
      <c r="G3" s="3" t="s">
        <v>62</v>
      </c>
      <c r="H3" s="3" t="s">
        <v>63</v>
      </c>
    </row>
    <row r="4" spans="1:8" x14ac:dyDescent="0.6">
      <c r="A4" s="2" t="s">
        <v>16</v>
      </c>
      <c r="B4" s="3" t="s">
        <v>64</v>
      </c>
      <c r="C4" s="3" t="s">
        <v>17</v>
      </c>
      <c r="D4" s="3" t="s">
        <v>20</v>
      </c>
      <c r="E4" s="3" t="s">
        <v>21</v>
      </c>
      <c r="F4" s="3" t="s">
        <v>22</v>
      </c>
      <c r="G4" s="3" t="s">
        <v>65</v>
      </c>
      <c r="H4" s="3" t="s">
        <v>66</v>
      </c>
    </row>
    <row r="5" spans="1:8" x14ac:dyDescent="0.6">
      <c r="A5" s="2" t="s">
        <v>15</v>
      </c>
      <c r="B5" s="3" t="s">
        <v>10</v>
      </c>
      <c r="C5" s="3" t="s">
        <v>23</v>
      </c>
      <c r="D5" s="3" t="s">
        <v>7</v>
      </c>
      <c r="E5" s="3" t="s">
        <v>67</v>
      </c>
      <c r="F5" s="3" t="s">
        <v>10</v>
      </c>
      <c r="G5" s="3" t="s">
        <v>68</v>
      </c>
      <c r="H5" s="3" t="s">
        <v>69</v>
      </c>
    </row>
    <row r="6" spans="1:8" ht="31.5" x14ac:dyDescent="0.6">
      <c r="A6" s="2" t="s">
        <v>18</v>
      </c>
      <c r="B6" s="3" t="s">
        <v>11</v>
      </c>
      <c r="C6" s="3" t="s">
        <v>22</v>
      </c>
      <c r="D6" s="3" t="s">
        <v>14</v>
      </c>
      <c r="E6" s="3" t="s">
        <v>32</v>
      </c>
      <c r="F6" s="3" t="s">
        <v>24</v>
      </c>
      <c r="G6" s="3" t="s">
        <v>70</v>
      </c>
      <c r="H6" s="3" t="s">
        <v>22</v>
      </c>
    </row>
    <row r="7" spans="1:8" ht="31.5" x14ac:dyDescent="0.6">
      <c r="A7" s="2" t="s">
        <v>25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75</v>
      </c>
      <c r="G7" s="3" t="s">
        <v>76</v>
      </c>
      <c r="H7" s="3" t="s">
        <v>77</v>
      </c>
    </row>
    <row r="8" spans="1:8" x14ac:dyDescent="0.6">
      <c r="A8" s="4"/>
    </row>
    <row r="9" spans="1:8" x14ac:dyDescent="0.6">
      <c r="A9" s="2" t="s">
        <v>43</v>
      </c>
      <c r="B9" s="2" t="s">
        <v>9</v>
      </c>
      <c r="C9" s="2" t="s">
        <v>30</v>
      </c>
      <c r="D9" s="2" t="s">
        <v>26</v>
      </c>
      <c r="E9" s="2" t="s">
        <v>28</v>
      </c>
      <c r="F9" s="2" t="s">
        <v>6</v>
      </c>
      <c r="G9" s="2" t="s">
        <v>56</v>
      </c>
      <c r="H9" s="2" t="s">
        <v>57</v>
      </c>
    </row>
    <row r="10" spans="1:8" x14ac:dyDescent="0.6">
      <c r="A10" s="2" t="s">
        <v>34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44</v>
      </c>
      <c r="G10" s="3" t="s">
        <v>48</v>
      </c>
      <c r="H10" s="3" t="s">
        <v>50</v>
      </c>
    </row>
    <row r="11" spans="1:8" x14ac:dyDescent="0.6">
      <c r="A11" s="2" t="s">
        <v>35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47</v>
      </c>
      <c r="G11" s="2" t="s">
        <v>49</v>
      </c>
      <c r="H11" s="2" t="s">
        <v>49</v>
      </c>
    </row>
    <row r="12" spans="1:8" x14ac:dyDescent="0.6">
      <c r="A12" s="2" t="s">
        <v>33</v>
      </c>
      <c r="B12" s="3" t="s">
        <v>44</v>
      </c>
      <c r="C12" s="3" t="s">
        <v>45</v>
      </c>
      <c r="D12" s="3" t="s">
        <v>45</v>
      </c>
      <c r="E12" s="3" t="s">
        <v>49</v>
      </c>
      <c r="F12" s="3" t="s">
        <v>51</v>
      </c>
      <c r="G12" s="3" t="s">
        <v>45</v>
      </c>
      <c r="H12" s="3" t="s">
        <v>49</v>
      </c>
    </row>
    <row r="13" spans="1:8" x14ac:dyDescent="0.6">
      <c r="A13" s="2" t="s">
        <v>36</v>
      </c>
      <c r="B13" s="3" t="s">
        <v>51</v>
      </c>
      <c r="C13" s="3" t="s">
        <v>48</v>
      </c>
      <c r="D13" s="3" t="s">
        <v>45</v>
      </c>
      <c r="E13" s="3" t="s">
        <v>48</v>
      </c>
      <c r="F13" s="3" t="s">
        <v>52</v>
      </c>
      <c r="G13" s="3" t="s">
        <v>45</v>
      </c>
      <c r="H13" s="3" t="s">
        <v>45</v>
      </c>
    </row>
    <row r="14" spans="1:8" x14ac:dyDescent="0.6">
      <c r="A14" s="2" t="s">
        <v>37</v>
      </c>
      <c r="B14" s="3" t="s">
        <v>53</v>
      </c>
      <c r="C14" s="3" t="s">
        <v>45</v>
      </c>
      <c r="D14" s="3" t="s">
        <v>45</v>
      </c>
      <c r="E14" s="3" t="s">
        <v>54</v>
      </c>
      <c r="F14" s="3" t="s">
        <v>53</v>
      </c>
      <c r="G14" s="3" t="s">
        <v>48</v>
      </c>
      <c r="H14" s="3" t="s">
        <v>48</v>
      </c>
    </row>
    <row r="15" spans="1:8" x14ac:dyDescent="0.6">
      <c r="A15" s="2" t="s">
        <v>38</v>
      </c>
      <c r="B15" s="3" t="s">
        <v>55</v>
      </c>
      <c r="C15" s="3" t="s">
        <v>48</v>
      </c>
      <c r="D15" s="3" t="s">
        <v>45</v>
      </c>
      <c r="E15" s="3" t="s">
        <v>47</v>
      </c>
      <c r="F15" s="3" t="s">
        <v>44</v>
      </c>
      <c r="G15" s="3" t="s">
        <v>48</v>
      </c>
      <c r="H15" s="3" t="s">
        <v>45</v>
      </c>
    </row>
    <row r="16" spans="1:8" x14ac:dyDescent="0.6">
      <c r="A16" s="2" t="s">
        <v>39</v>
      </c>
      <c r="B16" s="3" t="s">
        <v>45</v>
      </c>
      <c r="C16" s="3" t="s">
        <v>48</v>
      </c>
      <c r="D16" s="3" t="s">
        <v>49</v>
      </c>
      <c r="E16" s="3" t="s">
        <v>49</v>
      </c>
      <c r="F16" s="3" t="s">
        <v>50</v>
      </c>
      <c r="G16" s="3" t="s">
        <v>48</v>
      </c>
      <c r="H16" s="3" t="s">
        <v>48</v>
      </c>
    </row>
    <row r="17" spans="1:8" x14ac:dyDescent="0.6">
      <c r="A17" s="2" t="s">
        <v>40</v>
      </c>
      <c r="B17" s="3" t="s">
        <v>45</v>
      </c>
      <c r="C17" s="3" t="s">
        <v>48</v>
      </c>
      <c r="D17" s="3" t="s">
        <v>47</v>
      </c>
      <c r="E17" s="3" t="s">
        <v>49</v>
      </c>
      <c r="F17" s="3" t="s">
        <v>48</v>
      </c>
      <c r="G17" s="3" t="s">
        <v>48</v>
      </c>
      <c r="H17" s="3" t="s">
        <v>48</v>
      </c>
    </row>
    <row r="18" spans="1:8" x14ac:dyDescent="0.6">
      <c r="A18" s="2" t="s">
        <v>41</v>
      </c>
      <c r="B18" s="3" t="s">
        <v>44</v>
      </c>
      <c r="C18" s="3" t="s">
        <v>48</v>
      </c>
      <c r="D18" s="3" t="s">
        <v>50</v>
      </c>
      <c r="E18" s="3" t="s">
        <v>49</v>
      </c>
      <c r="F18" s="3" t="s">
        <v>44</v>
      </c>
      <c r="G18" s="3" t="s">
        <v>48</v>
      </c>
      <c r="H18" s="3" t="s">
        <v>50</v>
      </c>
    </row>
    <row r="19" spans="1:8" ht="31.5" x14ac:dyDescent="0.6">
      <c r="A19" s="2" t="s">
        <v>42</v>
      </c>
      <c r="B19" s="3" t="s">
        <v>51</v>
      </c>
      <c r="C19" s="3" t="s">
        <v>48</v>
      </c>
      <c r="D19" s="3" t="s">
        <v>45</v>
      </c>
      <c r="E19" s="3" t="s">
        <v>49</v>
      </c>
      <c r="F19" s="3" t="s">
        <v>46</v>
      </c>
      <c r="G19" s="3" t="s">
        <v>45</v>
      </c>
      <c r="H19" s="3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9BB9-61C3-4FA7-AAB0-BEA044617E14}">
  <dimension ref="A1:V8"/>
  <sheetViews>
    <sheetView tabSelected="1" workbookViewId="0">
      <selection activeCell="H6" sqref="H6"/>
    </sheetView>
  </sheetViews>
  <sheetFormatPr defaultRowHeight="16.899999999999999" x14ac:dyDescent="0.6"/>
  <cols>
    <col min="2" max="2" width="8.75" bestFit="1" customWidth="1"/>
    <col min="3" max="3" width="10.25" customWidth="1"/>
    <col min="4" max="4" width="8.75" bestFit="1" customWidth="1"/>
    <col min="5" max="5" width="9.0625" bestFit="1" customWidth="1"/>
    <col min="6" max="6" width="8.5625" bestFit="1" customWidth="1"/>
    <col min="11" max="13" width="8.3125" bestFit="1" customWidth="1"/>
    <col min="14" max="14" width="8.875" bestFit="1" customWidth="1"/>
    <col min="15" max="16" width="8.3125" bestFit="1" customWidth="1"/>
    <col min="17" max="18" width="8.875" bestFit="1" customWidth="1"/>
    <col min="19" max="19" width="8.3125" bestFit="1" customWidth="1"/>
    <col min="20" max="20" width="8.875" bestFit="1" customWidth="1"/>
  </cols>
  <sheetData>
    <row r="1" spans="1:22" ht="47.25" x14ac:dyDescent="0.6">
      <c r="A1" s="2" t="s">
        <v>0</v>
      </c>
      <c r="B1" s="2" t="s">
        <v>1</v>
      </c>
      <c r="C1" s="2" t="s">
        <v>78</v>
      </c>
      <c r="D1" s="2" t="s">
        <v>13</v>
      </c>
      <c r="E1" s="2" t="s">
        <v>15</v>
      </c>
      <c r="F1" s="2" t="s">
        <v>31</v>
      </c>
      <c r="G1" s="2" t="s">
        <v>25</v>
      </c>
      <c r="J1" s="2" t="s">
        <v>43</v>
      </c>
      <c r="K1" s="2" t="s">
        <v>34</v>
      </c>
      <c r="L1" s="2" t="s">
        <v>35</v>
      </c>
      <c r="M1" s="2" t="s">
        <v>33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  <c r="S1" s="2" t="s">
        <v>41</v>
      </c>
      <c r="T1" s="2" t="s">
        <v>42</v>
      </c>
    </row>
    <row r="2" spans="1:22" ht="47.25" x14ac:dyDescent="0.6">
      <c r="A2" s="2" t="s">
        <v>9</v>
      </c>
      <c r="B2" s="3" t="s">
        <v>12</v>
      </c>
      <c r="C2" s="3" t="s">
        <v>60</v>
      </c>
      <c r="D2" s="3" t="s">
        <v>64</v>
      </c>
      <c r="E2" s="3" t="s">
        <v>10</v>
      </c>
      <c r="F2" s="3" t="s">
        <v>11</v>
      </c>
      <c r="G2" s="3" t="s">
        <v>71</v>
      </c>
      <c r="J2" s="2" t="s">
        <v>9</v>
      </c>
      <c r="K2" s="5">
        <v>4</v>
      </c>
      <c r="L2" s="5">
        <v>9.5</v>
      </c>
      <c r="M2" s="5">
        <v>4</v>
      </c>
      <c r="N2" s="5">
        <v>5</v>
      </c>
      <c r="O2" s="6">
        <v>2</v>
      </c>
      <c r="P2" s="5">
        <v>3</v>
      </c>
      <c r="Q2" s="6">
        <v>8</v>
      </c>
      <c r="R2" s="5">
        <v>8</v>
      </c>
      <c r="S2" s="5">
        <v>4</v>
      </c>
      <c r="T2" s="5">
        <v>5</v>
      </c>
      <c r="V2" s="7">
        <f>SUM(K2:U2)</f>
        <v>52.5</v>
      </c>
    </row>
    <row r="3" spans="1:22" ht="63" x14ac:dyDescent="0.6">
      <c r="A3" s="2" t="s">
        <v>26</v>
      </c>
      <c r="B3" s="3" t="s">
        <v>27</v>
      </c>
      <c r="C3" s="3" t="s">
        <v>4</v>
      </c>
      <c r="D3" s="3" t="s">
        <v>20</v>
      </c>
      <c r="E3" s="3" t="s">
        <v>7</v>
      </c>
      <c r="F3" s="3" t="s">
        <v>14</v>
      </c>
      <c r="G3" s="3" t="s">
        <v>73</v>
      </c>
      <c r="J3" s="2" t="s">
        <v>26</v>
      </c>
      <c r="K3" s="6">
        <v>7</v>
      </c>
      <c r="L3" s="6">
        <v>9</v>
      </c>
      <c r="M3" s="6">
        <v>8</v>
      </c>
      <c r="N3" s="6">
        <v>8</v>
      </c>
      <c r="O3" s="6">
        <v>8</v>
      </c>
      <c r="P3" s="6">
        <v>8</v>
      </c>
      <c r="Q3" s="5">
        <v>9</v>
      </c>
      <c r="R3" s="5">
        <v>9.5</v>
      </c>
      <c r="S3" s="6">
        <v>7.5</v>
      </c>
      <c r="T3" s="6">
        <v>8</v>
      </c>
      <c r="V3" s="7">
        <f>SUM(K3:U3)</f>
        <v>82</v>
      </c>
    </row>
    <row r="4" spans="1:22" ht="63" x14ac:dyDescent="0.6">
      <c r="A4" s="2" t="s">
        <v>30</v>
      </c>
      <c r="B4" s="3" t="s">
        <v>29</v>
      </c>
      <c r="C4" s="3" t="s">
        <v>19</v>
      </c>
      <c r="D4" s="3" t="s">
        <v>17</v>
      </c>
      <c r="E4" s="3" t="s">
        <v>23</v>
      </c>
      <c r="F4" s="3" t="s">
        <v>22</v>
      </c>
      <c r="G4" s="3" t="s">
        <v>72</v>
      </c>
      <c r="J4" s="2" t="s">
        <v>30</v>
      </c>
      <c r="K4" s="6">
        <v>8</v>
      </c>
      <c r="L4" s="6">
        <v>8.5</v>
      </c>
      <c r="M4" s="6">
        <v>8</v>
      </c>
      <c r="N4" s="5">
        <v>8.5</v>
      </c>
      <c r="O4" s="6">
        <v>8</v>
      </c>
      <c r="P4" s="6">
        <v>8.5</v>
      </c>
      <c r="Q4" s="6">
        <v>8.5</v>
      </c>
      <c r="R4" s="6">
        <v>8.5</v>
      </c>
      <c r="S4" s="6">
        <v>8.5</v>
      </c>
      <c r="T4" s="6">
        <v>8.5</v>
      </c>
      <c r="V4" s="7">
        <f t="shared" ref="V4:V8" si="0">SUM(K4:U4)</f>
        <v>83.5</v>
      </c>
    </row>
    <row r="5" spans="1:22" ht="63" x14ac:dyDescent="0.6">
      <c r="A5" s="2" t="s">
        <v>28</v>
      </c>
      <c r="B5" s="3" t="s">
        <v>2</v>
      </c>
      <c r="C5" s="3" t="s">
        <v>5</v>
      </c>
      <c r="D5" s="3" t="s">
        <v>21</v>
      </c>
      <c r="E5" s="3" t="s">
        <v>67</v>
      </c>
      <c r="F5" s="3" t="s">
        <v>32</v>
      </c>
      <c r="G5" s="3" t="s">
        <v>74</v>
      </c>
      <c r="J5" s="2" t="s">
        <v>28</v>
      </c>
      <c r="K5" s="5">
        <v>9.5</v>
      </c>
      <c r="L5" s="5">
        <v>7.5</v>
      </c>
      <c r="M5" s="5">
        <v>9</v>
      </c>
      <c r="N5" s="5">
        <v>8.5</v>
      </c>
      <c r="O5" s="5">
        <v>1</v>
      </c>
      <c r="P5" s="5">
        <v>9.5</v>
      </c>
      <c r="Q5" s="5">
        <v>9</v>
      </c>
      <c r="R5" s="6">
        <v>9</v>
      </c>
      <c r="S5" s="5">
        <v>9</v>
      </c>
      <c r="T5" s="5">
        <v>9</v>
      </c>
      <c r="V5" s="7">
        <f t="shared" si="0"/>
        <v>81</v>
      </c>
    </row>
    <row r="6" spans="1:22" ht="63" x14ac:dyDescent="0.6">
      <c r="A6" s="2" t="s">
        <v>6</v>
      </c>
      <c r="B6" s="3" t="s">
        <v>3</v>
      </c>
      <c r="C6" s="3" t="s">
        <v>61</v>
      </c>
      <c r="D6" s="3" t="s">
        <v>22</v>
      </c>
      <c r="E6" s="3" t="s">
        <v>10</v>
      </c>
      <c r="F6" s="3" t="s">
        <v>24</v>
      </c>
      <c r="G6" s="3" t="s">
        <v>75</v>
      </c>
      <c r="J6" s="2" t="s">
        <v>6</v>
      </c>
      <c r="K6" s="5">
        <v>4</v>
      </c>
      <c r="L6" s="5">
        <v>9.5</v>
      </c>
      <c r="M6" s="6">
        <v>5</v>
      </c>
      <c r="N6" s="6">
        <v>6</v>
      </c>
      <c r="O6" s="6">
        <v>2</v>
      </c>
      <c r="P6" s="6">
        <v>4</v>
      </c>
      <c r="Q6" s="5">
        <v>7.5</v>
      </c>
      <c r="R6" s="6">
        <v>8.5</v>
      </c>
      <c r="S6" s="5">
        <v>4</v>
      </c>
      <c r="T6" s="6">
        <v>7</v>
      </c>
      <c r="V6" s="7">
        <f t="shared" si="0"/>
        <v>57.5</v>
      </c>
    </row>
    <row r="7" spans="1:22" ht="78.75" x14ac:dyDescent="0.6">
      <c r="A7" s="2" t="s">
        <v>56</v>
      </c>
      <c r="B7" s="3" t="s">
        <v>58</v>
      </c>
      <c r="C7" s="3" t="s">
        <v>62</v>
      </c>
      <c r="D7" s="3" t="s">
        <v>65</v>
      </c>
      <c r="E7" s="3" t="s">
        <v>68</v>
      </c>
      <c r="F7" s="3" t="s">
        <v>70</v>
      </c>
      <c r="G7" s="3" t="s">
        <v>76</v>
      </c>
      <c r="J7" s="2" t="s">
        <v>56</v>
      </c>
      <c r="K7" s="6">
        <v>8.5</v>
      </c>
      <c r="L7" s="6">
        <v>9</v>
      </c>
      <c r="M7" s="6">
        <v>8</v>
      </c>
      <c r="N7" s="6">
        <v>8</v>
      </c>
      <c r="O7" s="5">
        <v>8.5</v>
      </c>
      <c r="P7" s="6">
        <v>8.5</v>
      </c>
      <c r="Q7" s="6">
        <v>8.5</v>
      </c>
      <c r="R7" s="6">
        <v>8.5</v>
      </c>
      <c r="S7" s="6">
        <v>8.5</v>
      </c>
      <c r="T7" s="6">
        <v>8</v>
      </c>
      <c r="V7" s="7">
        <f t="shared" si="0"/>
        <v>84</v>
      </c>
    </row>
    <row r="8" spans="1:22" ht="78.75" x14ac:dyDescent="0.6">
      <c r="A8" s="2" t="s">
        <v>57</v>
      </c>
      <c r="B8" s="3" t="s">
        <v>59</v>
      </c>
      <c r="C8" s="3" t="s">
        <v>63</v>
      </c>
      <c r="D8" s="3" t="s">
        <v>66</v>
      </c>
      <c r="E8" s="3" t="s">
        <v>69</v>
      </c>
      <c r="F8" s="3" t="s">
        <v>22</v>
      </c>
      <c r="G8" s="3" t="s">
        <v>77</v>
      </c>
      <c r="J8" s="2" t="s">
        <v>57</v>
      </c>
      <c r="K8" s="6">
        <v>7.5</v>
      </c>
      <c r="L8" s="6">
        <v>9</v>
      </c>
      <c r="M8" s="5">
        <v>9</v>
      </c>
      <c r="N8" s="6">
        <v>8</v>
      </c>
      <c r="O8" s="5">
        <v>8.5</v>
      </c>
      <c r="P8" s="6">
        <v>8</v>
      </c>
      <c r="Q8" s="6">
        <v>8.5</v>
      </c>
      <c r="R8" s="6">
        <v>8.5</v>
      </c>
      <c r="S8" s="6">
        <v>7.5</v>
      </c>
      <c r="T8" s="6">
        <v>8.5</v>
      </c>
      <c r="V8" s="7">
        <f t="shared" si="0"/>
        <v>83</v>
      </c>
    </row>
  </sheetData>
  <autoFilter ref="A1:V8" xr:uid="{05989BB9-61C3-4FA7-AAB0-BEA044617E1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가로</vt:lpstr>
      <vt:lpstr>세로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연수 김</dc:creator>
  <cp:lastModifiedBy>연수 김</cp:lastModifiedBy>
  <dcterms:created xsi:type="dcterms:W3CDTF">2026-08-09T03:12:44Z</dcterms:created>
  <dcterms:modified xsi:type="dcterms:W3CDTF">2026-08-09T10:59:28Z</dcterms:modified>
</cp:coreProperties>
</file>